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0.BUS Finance\Corporate-Finance\models\builds\"/>
    </mc:Choice>
  </mc:AlternateContent>
  <xr:revisionPtr revIDLastSave="0" documentId="13_ncr:1_{A89B00C4-559A-4818-A0F0-A2C9CD3C6E91}" xr6:coauthVersionLast="47" xr6:coauthVersionMax="47" xr10:uidLastSave="{00000000-0000-0000-0000-000000000000}"/>
  <bookViews>
    <workbookView xWindow="-105" yWindow="0" windowWidth="14610" windowHeight="15480" firstSheet="1" activeTab="2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9" i="3"/>
  <c r="C8" i="3"/>
  <c r="H19" i="2"/>
  <c r="G19" i="2"/>
  <c r="H18" i="2"/>
  <c r="G18" i="2"/>
  <c r="H13" i="2"/>
  <c r="G13" i="2"/>
  <c r="H9" i="2"/>
  <c r="H10" i="2" s="1"/>
  <c r="H15" i="2" s="1"/>
  <c r="G9" i="2"/>
  <c r="G10" i="2" s="1"/>
  <c r="D20" i="2"/>
  <c r="C20" i="2"/>
  <c r="D10" i="2"/>
  <c r="C10" i="2"/>
  <c r="C11" i="2" s="1"/>
  <c r="C30" i="4"/>
  <c r="C22" i="4"/>
  <c r="C15" i="4"/>
  <c r="C8" i="4"/>
  <c r="D18" i="3"/>
  <c r="D14" i="3"/>
  <c r="D12" i="3"/>
  <c r="D9" i="3"/>
  <c r="D8" i="3"/>
  <c r="D7" i="3"/>
  <c r="H20" i="2"/>
  <c r="C15" i="5" s="1"/>
  <c r="D16" i="2"/>
  <c r="C16" i="2"/>
  <c r="D11" i="2"/>
  <c r="D23" i="2" s="1"/>
  <c r="C18" i="5" s="1"/>
  <c r="F75" i="5"/>
  <c r="C29" i="5"/>
  <c r="C28" i="5"/>
  <c r="C25" i="5"/>
  <c r="C23" i="5"/>
  <c r="C19" i="5"/>
  <c r="C17" i="5"/>
  <c r="C16" i="5"/>
  <c r="C12" i="5"/>
  <c r="C7" i="5"/>
  <c r="C10" i="3" l="1"/>
  <c r="C13" i="3" s="1"/>
  <c r="D13" i="3" s="1"/>
  <c r="H23" i="2"/>
  <c r="G20" i="2"/>
  <c r="C24" i="5"/>
  <c r="C36" i="5" s="1"/>
  <c r="C32" i="5"/>
  <c r="C38" i="5" s="1"/>
  <c r="G15" i="2"/>
  <c r="C30" i="5"/>
  <c r="C33" i="5"/>
  <c r="G23" i="2"/>
  <c r="C26" i="5"/>
  <c r="C27" i="5"/>
  <c r="C23" i="2"/>
  <c r="C31" i="5" s="1"/>
  <c r="C37" i="5" s="1"/>
  <c r="D10" i="3" l="1"/>
  <c r="C15" i="3"/>
  <c r="C7" i="4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<sst xmlns="http://schemas.openxmlformats.org/spreadsheetml/2006/main" count="368" uniqueCount="355">
  <si>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</si>
  <si>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</si>
  <si>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</si>
  <si>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</si>
  <si>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</si>
  <si>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</si>
  <si>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</si>
  <si>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</si>
  <si>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</si>
  <si>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</si>
  <si>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</si>
  <si>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</si>
  <si>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</si>
  <si>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</si>
  <si>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</si>
  <si>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</si>
  <si>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</si>
  <si>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</si>
  <si>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</si>
  <si>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</si>
  <si>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</si>
  <si>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</si>
  <si>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</si>
  <si>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</si>
  <si>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</si>
  <si>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</si>
  <si>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</si>
  <si>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</si>
  <si>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</si>
  <si>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</si>
  <si>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</si>
  <si>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</si>
  <si>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</si>
  <si>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</si>
  <si>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</si>
  <si>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</si>
  <si>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</si>
  <si>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</si>
  <si>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</si>
  <si>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</si>
  <si>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</si>
  <si>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</si>
  <si>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</si>
  <si>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</si>
  <si>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</si>
  <si>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</si>
  <si>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</si>
  <si>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</si>
  <si>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</si>
  <si>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</si>
  <si>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</si>
  <si>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</si>
  <si>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</si>
  <si>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</si>
  <si>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</si>
  <si>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</si>
  <si>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</si>
  <si>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</si>
  <si>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</si>
  <si>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</si>
  <si>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</si>
  <si>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</si>
  <si>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</si>
  <si>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</si>
  <si>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</si>
  <si>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</si>
  <si>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</si>
  <si>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</si>
  <si>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</si>
  <si>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</si>
  <si>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</si>
  <si>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</si>
  <si>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</si>
  <si>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</si>
  <si>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</si>
  <si>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</si>
  <si>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</si>
  <si>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</si>
  <si>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</si>
  <si>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</si>
  <si>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</si>
  <si>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</si>
  <si>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</si>
  <si>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</si>
  <si>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</si>
  <si>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</si>
  <si>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</si>
  <si>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</si>
  <si>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</si>
  <si>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</si>
  <si>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</si>
  <si>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</si>
  <si>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</si>
  <si>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</si>
  <si>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</si>
  <si>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</si>
  <si>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</si>
  <si>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</si>
  <si>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</si>
  <si>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</si>
  <si>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</si>
  <si>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</si>
  <si>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</si>
  <si>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</si>
  <si>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</si>
  <si>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</si>
  <si>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</si>
  <si>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</si>
  <si>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</si>
  <si>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</si>
  <si>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</si>
  <si>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</si>
  <si>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</si>
  <si>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</si>
  <si>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</si>
  <si>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</si>
  <si>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</si>
  <si>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</si>
  <si>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</si>
  <si>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</si>
  <si>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</si>
  <si>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</si>
  <si>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</si>
  <si>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</si>
  <si>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</si>
  <si>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</si>
  <si>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</si>
  <si>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</si>
  <si>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</si>
  <si>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</si>
  <si>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</si>
  <si>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</si>
  <si>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</si>
  <si>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</si>
  <si>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</si>
  <si>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</si>
  <si>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</si>
  <si>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</si>
  <si>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</si>
  <si>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</si>
  <si>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</si>
  <si>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</si>
  <si>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</si>
  <si>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</si>
  <si>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</si>
  <si>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</si>
  <si>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</si>
  <si>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</si>
  <si>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</si>
  <si>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</si>
  <si>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</si>
  <si>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</si>
  <si>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</si>
  <si>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</si>
  <si>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</si>
  <si>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</si>
  <si>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</si>
  <si>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</si>
  <si>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</si>
  <si>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</si>
  <si>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</si>
  <si>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</si>
  <si>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</si>
  <si>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</si>
  <si>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</si>
  <si>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</si>
  <si>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</si>
  <si>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</si>
  <si>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</si>
  <si>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</si>
  <si>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</si>
  <si>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</si>
  <si>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</si>
  <si>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</si>
  <si>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</si>
  <si>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</si>
  <si>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</si>
  <si>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</si>
  <si>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</si>
  <si>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</si>
  <si>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</si>
  <si>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</si>
  <si>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</si>
  <si>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</si>
  <si>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</si>
  <si>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</si>
  <si>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</si>
  <si>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</si>
  <si>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</si>
  <si>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</si>
  <si>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</si>
  <si>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</si>
  <si>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</si>
  <si>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</si>
  <si>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</si>
  <si>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</si>
  <si>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</si>
  <si>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</si>
  <si>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</si>
  <si>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</si>
  <si>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</si>
  <si>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</si>
  <si>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</si>
  <si>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</si>
  <si>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</si>
  <si>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</si>
  <si>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</si>
  <si>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</si>
  <si>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</si>
  <si>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</si>
  <si>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</si>
  <si>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</si>
  <si>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</si>
  <si>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</si>
  <si>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</si>
  <si>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</si>
  <si>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</si>
  <si>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</si>
  <si>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</si>
  <si>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</si>
  <si>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</si>
  <si>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</si>
  <si>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</si>
  <si>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</si>
  <si>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</si>
  <si>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</si>
  <si>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</si>
  <si>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</si>
  <si>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</si>
  <si>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</si>
  <si>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</si>
  <si>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</si>
  <si>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</si>
  <si>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</si>
  <si>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</si>
  <si>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</si>
  <si>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</si>
  <si>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</si>
  <si>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</si>
  <si>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</si>
  <si>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</si>
  <si>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</si>
  <si>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</si>
  <si>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</si>
  <si>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</si>
  <si>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</si>
  <si>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</si>
  <si>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</si>
  <si>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</si>
  <si>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</si>
  <si>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</si>
  <si>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</si>
  <si>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</si>
  <si>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</si>
  <si>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</si>
  <si>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</si>
  <si>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</si>
  <si>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</si>
  <si>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</si>
  <si>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</si>
  <si>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</si>
  <si>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</si>
  <si>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</si>
  <si>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</si>
  <si>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</si>
  <si>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</si>
  <si>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</si>
  <si>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</si>
  <si>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</si>
  <si>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</si>
  <si>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</si>
  <si>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</si>
  <si>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</si>
  <si>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</si>
  <si>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</si>
  <si>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</si>
  <si>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</si>
  <si>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</si>
  <si>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</si>
  <si>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</si>
  <si>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</si>
  <si>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</si>
  <si>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</si>
  <si>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</si>
  <si>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</si>
  <si>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</si>
  <si>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</si>
  <si>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</si>
  <si>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</si>
  <si>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</si>
  <si>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</si>
  <si>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</si>
  <si>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</si>
  <si>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</si>
  <si>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</si>
  <si>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</si>
  <si>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</si>
  <si>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</si>
  <si>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</si>
  <si>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</si>
  <si>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</si>
  <si>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</si>
  <si>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</si>
  <si>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</si>
  <si>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</si>
  <si>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</si>
  <si>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</si>
  <si>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</si>
  <si>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</si>
  <si>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</si>
  <si>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</si>
  <si>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</si>
  <si>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</si>
  <si>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Sectra AB (publ)</t>
  </si>
  <si>
    <t>SECT B</t>
  </si>
  <si>
    <t>Healthcare IT — Medical Imaging &amp; Secure Communications</t>
  </si>
  <si>
    <t>FY2024/2025 (ending April 30, 2025)</t>
  </si>
  <si>
    <t>FY2023/2024 (ending April 30, 2024)</t>
  </si>
  <si>
    <t>investor.sectra.com (Annual Reports FY24/25 and FY23/24, IFRS-audited)</t>
  </si>
  <si>
    <t>All figures in SEK millions unless otherwise noted</t>
  </si>
  <si>
    <t>20.6% (Sweden statutory corporate income tax rate, effective since 2021; effective rate may differ — verify from Sectra Income Statement)</t>
  </si>
  <si>
    <t>8.0% — class working WACC (BUS-629 default; refine in Stage 4)</t>
  </si>
  <si>
    <t xml:space="preserve"> SEK 320 (estimated close April 30, 2025 — verify Yahoo Finance historical SECT-B.ST)</t>
  </si>
  <si>
    <t>192.67 million (per Sectra IR / S&amp;P Global; verify FY24/25 Annual Report share note)</t>
  </si>
  <si>
    <t>IFRS-SPECIFIC CONVENTIONS:</t>
  </si>
  <si>
    <t>1. Currency: All figures in SEK Millions unless otherwise stated.</t>
  </si>
  <si>
    <t>2. Fiscal Year: Sectra fiscal year runs May 1 – April 30. FY2024/2025 = May 2024 – April 2025. Care needed when benchmarking against calendar-year peers.</t>
  </si>
  <si>
    <t>3. Deferred Revenue: Sectra reports this as "Contract liabilities" (IFRS 15). When populating BAL_* deferred revenue, use Contract liabilities value (current + non-current).</t>
  </si>
  <si>
    <t>4. Operating Profit Adjustment: FY2024/2025 reported operating profit (SEK 723M) includes SEK 110M non-recurring patent settlement. Underlying operating profit = SEK 613M. Use underlying for like-for-like analysis at Stage 5.</t>
  </si>
  <si>
    <t>5. R&amp;D: Under IAS 38, certain development costs may be capitalized as intangibles rather than expensed. Verify Sectra's policy in accounting notes.</t>
  </si>
  <si>
    <t>6. Translation Effects: Majority revenue (USD/GBP/EUR) translated to SEK at period-average rates. FY2024/2025 marked end of FX tailwinds.</t>
  </si>
  <si>
    <t>7. Tax Rate: Sweden statutory CIT = 20.6%. Sectra effective rate to be calculated from Income Statement.</t>
  </si>
  <si>
    <t>8. IFRS-to-GAAP Mapping:</t>
  </si>
  <si>
    <t xml:space="preserve">   - Receivables (IFRS) ≈ Accounts Receivable (US GAAP)</t>
  </si>
  <si>
    <t xml:space="preserve">   - Trade payables ≈ Accounts Payable</t>
  </si>
  <si>
    <t xml:space="preserve">   - Borrowings ≈ Short-term + Long-term Debt</t>
  </si>
  <si>
    <t xml:space="preserve">   - Contract liabilities ≈ Deferred Revenue</t>
  </si>
  <si>
    <t>COGS / GROSS MARGIN LIMITATION (IFRS by-nature reporting):</t>
  </si>
  <si>
    <t xml:space="preserve">Sectra presents its income statement BY NATURE (IFRS), not BY FUNCTION (US GAAP). </t>
  </si>
  <si>
    <t>It does NOT disclose a "Cost of Goods Sold" or "Gross Profit" line.</t>
  </si>
  <si>
    <t xml:space="preserve">- "Cost of goods sold" in this template = "Goods for resale" (SEK 441,712K FY24/25 / </t>
  </si>
  <si>
    <t xml:space="preserve">  431,218K FY23/24) — the cost of hardware Sectra purchases and resells alongside its </t>
  </si>
  <si>
    <t xml:space="preserve">  software systems. This is the ONLY cost line that maps cleanly to COGS.</t>
  </si>
  <si>
    <t xml:space="preserve">  </t>
  </si>
  <si>
    <t xml:space="preserve">- As a medical-imaging IT / software company, Sectra's largest true cost is Personnel </t>
  </si>
  <si>
    <t xml:space="preserve">  costs (SEK 1,598,697K FY24/25). A portion of this represents software development, </t>
  </si>
  <si>
    <t xml:space="preserve">  implementation, and support that would be classified as COGS under by-function </t>
  </si>
  <si>
    <t xml:space="preserve">  reporting — but Sectra does not disclose this split, so it cannot be reliably </t>
  </si>
  <si>
    <t xml:space="preserve">  separated and is reported within SG&amp;A.</t>
  </si>
  <si>
    <t xml:space="preserve">- CONSEQUENCE: The "Gross Margin" ratio computed in this model will appear </t>
  </si>
  <si>
    <t xml:space="preserve">  unusually high (~86%) because most production-related personnel cost sits below </t>
  </si>
  <si>
    <t xml:space="preserve">  the gross-profit line. Gross Margin is therefore NOT meaningful for Sectra and </t>
  </si>
  <si>
    <t xml:space="preserve">  should not be compared to by-function reporters. Operating Margin (EBIT/Sales) </t>
  </si>
  <si>
    <t xml:space="preserve">  is the reliable profitability measure here and ties exactly to Sectra's audited </t>
  </si>
  <si>
    <t xml:space="preserve">  Operating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</si>
</sst>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0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6" fillId="8" borderId="0" xfId="0" applyFont="1" applyFill="1" applyAlignment="1">
      <alignment vertical="top" wrapText="1"/>
    </xf>
    <xf numFmtId="0" fontId="0" fillId="8" borderId="0" xfId="0" applyFill="1"/>
    <xf numFmtId="0" fontId="19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B10" sqref="B10"/>
    </sheetView>
  </sheetViews>
  <sheetFormatPr defaultRowHeight="15" x14ac:dyDescent="0.2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.1" customHeight="1" x14ac:dyDescent="0.25">
      <c r="B2" s="1"/>
      <c r="C2" s="1"/>
    </row>
    <row r="4" spans="2:3" ht="15.75" x14ac:dyDescent="0.3">
      <c r="B4" s="48" t="s">
        <v>157</v>
      </c>
      <c r="C4" s="49"/>
    </row>
    <row r="5" spans="2:3" ht="26.1" customHeight="1" x14ac:dyDescent="0.5">
      <c r="B5" s="52" t="s">
        <v>158</v>
      </c>
      <c r="C5" s="49"/>
    </row>
    <row r="6" spans="2:3" ht="18" customHeight="1" x14ac:dyDescent="0.35">
      <c r="B6" s="50" t="s">
        <v>159</v>
      </c>
      <c r="C6" s="49"/>
    </row>
    <row r="7" spans="2:3" ht="3.95" customHeight="1" x14ac:dyDescent="0.25">
      <c r="B7" s="2"/>
      <c r="C7" s="2"/>
    </row>
    <row r="9" spans="2:3" ht="19.5" customHeight="1" x14ac:dyDescent="0.3">
      <c r="B9" s="51" t="s">
        <v>160</v>
      </c>
      <c r="C9" s="49"/>
    </row>
    <row r="10" spans="2:3" ht="18" customHeight="1" x14ac:dyDescent="0.25">
      <c r="B10" s="3" t="s">
        <v>161</v>
      </c>
      <c r="C10" s="4" t="s">
        <v>162</v>
      </c>
    </row>
    <row r="11" spans="2:3" ht="18" customHeight="1" x14ac:dyDescent="0.25">
      <c r="B11" s="3" t="s">
        <v>163</v>
      </c>
      <c r="C11" s="4" t="s">
        <v>164</v>
      </c>
    </row>
    <row r="12" spans="2:3" ht="18" customHeight="1" x14ac:dyDescent="0.25">
      <c r="B12" s="3" t="s">
        <v>165</v>
      </c>
      <c r="C12" s="4" t="s">
        <v>166</v>
      </c>
    </row>
    <row r="13" spans="2:3" ht="18" customHeight="1" x14ac:dyDescent="0.25">
      <c r="B13" s="3" t="s">
        <v>167</v>
      </c>
      <c r="C13" s="4" t="s">
        <v>168</v>
      </c>
    </row>
    <row r="14" spans="2:3" ht="18" customHeight="1" x14ac:dyDescent="0.25">
      <c r="B14" s="3" t="s">
        <v>169</v>
      </c>
      <c r="C14" s="4" t="s">
        <v>170</v>
      </c>
    </row>
    <row r="15" spans="2:3" ht="18" customHeight="1" x14ac:dyDescent="0.25">
      <c r="B15" s="3" t="s">
        <v>171</v>
      </c>
      <c r="C15" s="4" t="s">
        <v>172</v>
      </c>
    </row>
    <row r="17" spans="2:3" ht="19.5" customHeight="1" x14ac:dyDescent="0.3">
      <c r="B17" s="51" t="s">
        <v>173</v>
      </c>
      <c r="C17" s="49"/>
    </row>
    <row r="18" spans="2:3" ht="16.5" customHeight="1" x14ac:dyDescent="0.25">
      <c r="B18" s="5" t="s">
        <v>174</v>
      </c>
      <c r="C18" s="5" t="s">
        <v>175</v>
      </c>
    </row>
    <row r="19" spans="2:3" ht="30" customHeight="1" x14ac:dyDescent="0.3">
      <c r="B19" s="6" t="s">
        <v>176</v>
      </c>
      <c r="C19" s="7" t="s">
        <v>177</v>
      </c>
    </row>
    <row r="20" spans="2:3" ht="30" customHeight="1" x14ac:dyDescent="0.3">
      <c r="B20" s="8" t="s">
        <v>178</v>
      </c>
      <c r="C20" s="7" t="s">
        <v>179</v>
      </c>
    </row>
    <row r="21" spans="2:3" ht="30" customHeight="1" x14ac:dyDescent="0.3">
      <c r="B21" s="9" t="s">
        <v>180</v>
      </c>
      <c r="C21" s="7" t="s">
        <v>181</v>
      </c>
    </row>
    <row r="22" spans="2:3" ht="30" customHeight="1" x14ac:dyDescent="0.3">
      <c r="B22" s="10" t="s">
        <v>182</v>
      </c>
      <c r="C22" s="7" t="s">
        <v>183</v>
      </c>
    </row>
    <row r="24" spans="2:3" ht="19.5" customHeight="1" x14ac:dyDescent="0.3">
      <c r="B24" s="51" t="s">
        <v>184</v>
      </c>
      <c r="C24" s="49"/>
    </row>
    <row r="25" spans="2:3" ht="16.5" customHeight="1" x14ac:dyDescent="0.25">
      <c r="B25" s="5" t="s">
        <v>185</v>
      </c>
      <c r="C25" s="5" t="s">
        <v>175</v>
      </c>
    </row>
    <row r="26" spans="2:3" ht="24" customHeight="1" x14ac:dyDescent="0.25">
      <c r="B26" s="11" t="s">
        <v>186</v>
      </c>
      <c r="C26" s="7" t="s">
        <v>187</v>
      </c>
    </row>
    <row r="27" spans="2:3" ht="24" customHeight="1" x14ac:dyDescent="0.25">
      <c r="B27" s="11" t="s">
        <v>188</v>
      </c>
      <c r="C27" s="7" t="s">
        <v>189</v>
      </c>
    </row>
    <row r="28" spans="2:3" ht="24" customHeight="1" x14ac:dyDescent="0.25">
      <c r="B28" s="11" t="s">
        <v>190</v>
      </c>
      <c r="C28" s="7" t="s">
        <v>191</v>
      </c>
    </row>
    <row r="29" spans="2:3" ht="24" customHeight="1" x14ac:dyDescent="0.25">
      <c r="B29" s="11" t="s">
        <v>192</v>
      </c>
      <c r="C29" s="7" t="s">
        <v>193</v>
      </c>
    </row>
    <row r="30" spans="2:3" ht="24" customHeight="1" x14ac:dyDescent="0.25">
      <c r="B30" s="11" t="s">
        <v>194</v>
      </c>
      <c r="C30" s="7" t="s">
        <v>195</v>
      </c>
    </row>
    <row r="31" spans="2:3" ht="24" customHeight="1" x14ac:dyDescent="0.25">
      <c r="B31" s="11" t="s">
        <v>196</v>
      </c>
      <c r="C31" s="7" t="s">
        <v>197</v>
      </c>
    </row>
    <row r="32" spans="2:3" ht="24" customHeight="1" x14ac:dyDescent="0.25">
      <c r="B32" s="11" t="s">
        <v>198</v>
      </c>
      <c r="C32" s="7" t="s">
        <v>199</v>
      </c>
    </row>
    <row r="33" spans="2:3" ht="24" customHeight="1" x14ac:dyDescent="0.25">
      <c r="B33" s="11" t="s">
        <v>200</v>
      </c>
      <c r="C33" s="7" t="s">
        <v>201</v>
      </c>
    </row>
    <row r="36" spans="2:3" ht="19.5" customHeight="1" x14ac:dyDescent="0.3">
      <c r="B36" s="51" t="s">
        <v>202</v>
      </c>
      <c r="C36" s="49"/>
    </row>
    <row r="37" spans="2:3" ht="15" customHeight="1" x14ac:dyDescent="0.25">
      <c r="B37" s="12" t="s">
        <v>203</v>
      </c>
      <c r="C37" s="13" t="s">
        <v>204</v>
      </c>
    </row>
    <row r="38" spans="2:3" ht="15" customHeight="1" x14ac:dyDescent="0.25">
      <c r="B38" s="12" t="s">
        <v>205</v>
      </c>
      <c r="C38" s="13" t="s">
        <v>206</v>
      </c>
    </row>
    <row r="41" spans="2:3" x14ac:dyDescent="0.25">
      <c r="B41" s="53" t="s">
        <v>207</v>
      </c>
      <c r="C41" s="49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H20" sqref="H20"/>
    </sheetView>
  </sheetViews>
  <sheetFormatPr defaultRowHeight="15" x14ac:dyDescent="0.2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.1" customHeight="1" x14ac:dyDescent="0.35">
      <c r="B2" s="14" t="s">
        <v>208</v>
      </c>
    </row>
    <row r="3" spans="2:8" x14ac:dyDescent="0.25">
      <c r="B3" s="15" t="s">
        <v>209</v>
      </c>
    </row>
    <row r="5" spans="2:8" ht="16.5" customHeight="1" x14ac:dyDescent="0.2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3">
      <c r="B6" s="18" t="s">
        <v>214</v>
      </c>
      <c r="F6" s="18" t="s">
        <v>215</v>
      </c>
    </row>
    <row r="7" spans="2:8" ht="15" customHeight="1" x14ac:dyDescent="0.3">
      <c r="B7" s="12" t="s">
        <v>216</v>
      </c>
      <c r="C7" s="19">
        <v>1341871</v>
      </c>
      <c r="D7" s="19">
        <v>804640</v>
      </c>
      <c r="F7" s="12" t="s">
        <v>217</v>
      </c>
      <c r="G7" s="19">
        <v>23617</v>
      </c>
      <c r="H7" s="19">
        <v>12584</v>
      </c>
    </row>
    <row r="8" spans="2:8" ht="15" customHeight="1" x14ac:dyDescent="0.3">
      <c r="B8" s="12" t="s">
        <v>218</v>
      </c>
      <c r="C8" s="19">
        <v>572036</v>
      </c>
      <c r="D8" s="19">
        <v>571661</v>
      </c>
      <c r="F8" s="12" t="s">
        <v>219</v>
      </c>
      <c r="G8" s="19">
        <v>107279</v>
      </c>
      <c r="H8" s="19">
        <v>76071</v>
      </c>
    </row>
    <row r="9" spans="2:8" ht="15" customHeight="1" x14ac:dyDescent="0.3">
      <c r="B9" s="12" t="s">
        <v>220</v>
      </c>
      <c r="C9" s="19">
        <v>37576</v>
      </c>
      <c r="D9" s="19">
        <v>36590</v>
      </c>
      <c r="F9" s="12" t="s">
        <v>221</v>
      </c>
      <c r="G9" s="19">
        <f>74321+5619+81667+434012+974935</f>
        <v>1570554</v>
      </c>
      <c r="H9" s="19">
        <f>67170+2637+75332+408706+946263</f>
        <v>1500108</v>
      </c>
    </row>
    <row r="10" spans="2:8" ht="15" customHeight="1" x14ac:dyDescent="0.25">
      <c r="B10" s="12" t="s">
        <v>222</v>
      </c>
      <c r="C10" s="19">
        <f>26055+42861+118978+819754</f>
        <v>1007648</v>
      </c>
      <c r="D10" s="19">
        <f>10274+13354+102610+983019</f>
        <v>1109257</v>
      </c>
      <c r="F10" s="20" t="s">
        <v>223</v>
      </c>
      <c r="G10" s="21">
        <f>SUM(G7:G9)</f>
        <v>1701450</v>
      </c>
      <c r="H10" s="21">
        <f>SUM(H7:H9)</f>
        <v>1588763</v>
      </c>
    </row>
    <row r="11" spans="2:8" ht="15" customHeight="1" x14ac:dyDescent="0.25">
      <c r="B11" s="20" t="s">
        <v>224</v>
      </c>
      <c r="C11" s="21">
        <f>SUM(C7:C10)</f>
        <v>2959131</v>
      </c>
      <c r="D11" s="21">
        <f>SUM(D7:D10)</f>
        <v>2522148</v>
      </c>
    </row>
    <row r="12" spans="2:8" ht="15" customHeight="1" x14ac:dyDescent="0.25">
      <c r="F12" s="12" t="s">
        <v>60</v>
      </c>
      <c r="G12" s="19">
        <v>63840</v>
      </c>
      <c r="H12" s="19">
        <v>19204</v>
      </c>
    </row>
    <row r="13" spans="2:8" ht="15" customHeight="1" x14ac:dyDescent="0.25">
      <c r="B13" s="18" t="s">
        <v>225</v>
      </c>
      <c r="F13" s="12" t="s">
        <v>226</v>
      </c>
      <c r="G13" s="19">
        <f>58318+4063+11733</f>
        <v>74114</v>
      </c>
      <c r="H13" s="19">
        <f>26342+7038</f>
        <v>33380</v>
      </c>
    </row>
    <row r="14" spans="2:8" ht="15" customHeight="1" x14ac:dyDescent="0.25">
      <c r="B14" s="12" t="s">
        <v>227</v>
      </c>
      <c r="C14" s="19">
        <v>220654</v>
      </c>
      <c r="D14" s="19">
        <v>227040</v>
      </c>
    </row>
    <row r="15" spans="2:8" ht="15" customHeight="1" x14ac:dyDescent="0.25">
      <c r="B15" s="12" t="s">
        <v>228</v>
      </c>
      <c r="C15" s="19"/>
      <c r="D15" s="19"/>
      <c r="F15" s="20" t="s">
        <v>229</v>
      </c>
      <c r="G15" s="21">
        <f>G10+G12+G13</f>
        <v>1839404</v>
      </c>
      <c r="H15" s="21">
        <f>H10+H12+H13</f>
        <v>1641347</v>
      </c>
    </row>
    <row r="16" spans="2:8" ht="15" customHeight="1" x14ac:dyDescent="0.25">
      <c r="B16" s="20" t="s">
        <v>230</v>
      </c>
      <c r="C16" s="21">
        <f>C14-C15</f>
        <v>220654</v>
      </c>
      <c r="D16" s="21">
        <f>D14-D15</f>
        <v>227040</v>
      </c>
    </row>
    <row r="17" spans="2:8" ht="15" customHeight="1" x14ac:dyDescent="0.25">
      <c r="F17" s="18" t="s">
        <v>231</v>
      </c>
    </row>
    <row r="18" spans="2:8" ht="15" customHeight="1" x14ac:dyDescent="0.25">
      <c r="B18" s="18" t="s">
        <v>232</v>
      </c>
      <c r="F18" s="12" t="s">
        <v>233</v>
      </c>
      <c r="G18" s="19">
        <f>39025+361470</f>
        <v>400495</v>
      </c>
      <c r="H18" s="19">
        <f>38825+361470</f>
        <v>400295</v>
      </c>
    </row>
    <row r="19" spans="2:8" ht="15" customHeight="1" x14ac:dyDescent="0.25">
      <c r="B19" s="12" t="s">
        <v>234</v>
      </c>
      <c r="C19" s="19">
        <v>283063</v>
      </c>
      <c r="D19" s="19">
        <v>262330</v>
      </c>
      <c r="F19" s="12" t="s">
        <v>235</v>
      </c>
      <c r="G19" s="19">
        <f>103919+1412411</f>
        <v>1516330</v>
      </c>
      <c r="H19" s="19">
        <f>151446+1017850</f>
        <v>1169296</v>
      </c>
    </row>
    <row r="20" spans="2:8" ht="15" customHeight="1" x14ac:dyDescent="0.25">
      <c r="B20" s="12" t="s">
        <v>236</v>
      </c>
      <c r="C20" s="19">
        <f>106415+126345+32807+19312+8502</f>
        <v>293381</v>
      </c>
      <c r="D20" s="19">
        <f>35241+138422+21+16746+8990</f>
        <v>199420</v>
      </c>
      <c r="F20" s="20" t="s">
        <v>237</v>
      </c>
      <c r="G20" s="21">
        <f>G18+G19</f>
        <v>1916825</v>
      </c>
      <c r="H20" s="21">
        <f>H18+H19</f>
        <v>1569591</v>
      </c>
    </row>
    <row r="22" spans="2:8" ht="16.5" customHeight="1" x14ac:dyDescent="0.25"/>
    <row r="23" spans="2:8" ht="16.5" customHeight="1" x14ac:dyDescent="0.25">
      <c r="B23" s="5" t="s">
        <v>238</v>
      </c>
      <c r="C23" s="22">
        <f>C11+C16+C19+C20</f>
        <v>3756229</v>
      </c>
      <c r="D23" s="22">
        <f>D11+D16+D19+D20</f>
        <v>3210938</v>
      </c>
      <c r="F23" s="5" t="s">
        <v>239</v>
      </c>
      <c r="G23" s="22">
        <f>G15+G20</f>
        <v>3756229</v>
      </c>
      <c r="H23" s="22">
        <f>H15+H20</f>
        <v>3210938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16" sqref="B16:D19"/>
    </sheetView>
  </sheetViews>
  <sheetFormatPr defaultRowHeight="15" x14ac:dyDescent="0.2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.1" customHeight="1" x14ac:dyDescent="0.35">
      <c r="B2" s="14" t="s">
        <v>240</v>
      </c>
    </row>
    <row r="3" spans="2:4" ht="15.75" x14ac:dyDescent="0.3">
      <c r="B3" s="15" t="s">
        <v>241</v>
      </c>
    </row>
    <row r="5" spans="2:4" ht="16.5" customHeight="1" x14ac:dyDescent="0.25">
      <c r="B5" s="23" t="s">
        <v>242</v>
      </c>
      <c r="C5" s="23" t="s">
        <v>243</v>
      </c>
      <c r="D5" s="23" t="s">
        <v>244</v>
      </c>
    </row>
    <row r="6" spans="2:4" ht="15" customHeight="1" x14ac:dyDescent="0.25">
      <c r="B6" s="12" t="s">
        <v>245</v>
      </c>
      <c r="C6" s="19">
        <v>3239811</v>
      </c>
      <c r="D6" s="24">
        <v>1</v>
      </c>
    </row>
    <row r="7" spans="2:4" ht="15" customHeight="1" x14ac:dyDescent="0.25">
      <c r="B7" s="12" t="s">
        <v>246</v>
      </c>
      <c r="C7" s="19">
        <v>441712</v>
      </c>
      <c r="D7" s="25">
        <f t="shared" ref="D7:D15" si="0">IFERROR(C7/$C$6,"")</f>
        <v>0.13633881729520642</v>
      </c>
    </row>
    <row r="8" spans="2:4" ht="15" customHeight="1" x14ac:dyDescent="0.25">
      <c r="B8" s="12" t="s">
        <v>247</v>
      </c>
      <c r="C8" s="19">
        <f>1598697+665324-74093-226356</f>
        <v>1963572</v>
      </c>
      <c r="D8" s="25">
        <f t="shared" si="0"/>
        <v>0.60607609517962624</v>
      </c>
    </row>
    <row r="9" spans="2:4" ht="15" customHeight="1" x14ac:dyDescent="0.25">
      <c r="B9" s="12" t="s">
        <v>248</v>
      </c>
      <c r="C9" s="19">
        <f>51559+35931+24040</f>
        <v>111530</v>
      </c>
      <c r="D9" s="25">
        <f t="shared" si="0"/>
        <v>3.4424847622284142E-2</v>
      </c>
    </row>
    <row r="10" spans="2:4" ht="15" customHeight="1" x14ac:dyDescent="0.25">
      <c r="B10" s="20" t="s">
        <v>249</v>
      </c>
      <c r="C10" s="21">
        <f>C6-C7-C8-C9</f>
        <v>722997</v>
      </c>
      <c r="D10" s="25">
        <f t="shared" si="0"/>
        <v>0.22316023990288322</v>
      </c>
    </row>
    <row r="11" spans="2:4" ht="15" customHeight="1" x14ac:dyDescent="0.25">
      <c r="B11" s="12" t="s">
        <v>250</v>
      </c>
      <c r="C11" s="19">
        <v>31404</v>
      </c>
      <c r="D11" s="25">
        <f t="shared" si="0"/>
        <v>9.693158026810823E-3</v>
      </c>
    </row>
    <row r="12" spans="2:4" ht="15" customHeight="1" x14ac:dyDescent="0.25">
      <c r="B12" s="12" t="s">
        <v>251</v>
      </c>
      <c r="C12" s="19">
        <v>28120</v>
      </c>
      <c r="D12" s="25">
        <f t="shared" si="0"/>
        <v>8.6795186509336496E-3</v>
      </c>
    </row>
    <row r="13" spans="2:4" ht="15" customHeight="1" x14ac:dyDescent="0.25">
      <c r="B13" s="20" t="s">
        <v>252</v>
      </c>
      <c r="C13" s="21">
        <f>C10+C11-C12</f>
        <v>726281</v>
      </c>
      <c r="D13" s="25">
        <f t="shared" si="0"/>
        <v>0.2241738792787604</v>
      </c>
    </row>
    <row r="14" spans="2:4" ht="15" customHeight="1" x14ac:dyDescent="0.25">
      <c r="B14" s="12" t="s">
        <v>253</v>
      </c>
      <c r="C14" s="19">
        <v>162910</v>
      </c>
      <c r="D14" s="25">
        <f t="shared" si="0"/>
        <v>5.0283797419046976E-2</v>
      </c>
    </row>
    <row r="15" spans="2:4" ht="16.5" customHeight="1" x14ac:dyDescent="0.25">
      <c r="B15" s="5" t="s">
        <v>254</v>
      </c>
      <c r="C15" s="22">
        <f>C13-C14</f>
        <v>563371</v>
      </c>
      <c r="D15" s="26">
        <f t="shared" si="0"/>
        <v>0.17389008185971341</v>
      </c>
    </row>
    <row r="17" spans="2:4" ht="15" customHeight="1" x14ac:dyDescent="0.25">
      <c r="B17" s="18" t="s">
        <v>255</v>
      </c>
    </row>
    <row r="18" spans="2:4" ht="15" customHeight="1" x14ac:dyDescent="0.25">
      <c r="B18" s="12" t="s">
        <v>256</v>
      </c>
      <c r="C18" s="19"/>
      <c r="D18" s="25">
        <f>IFERROR(C18/$C$6,"")</f>
        <v>0</v>
      </c>
    </row>
    <row r="19" spans="2:4" ht="15" customHeight="1" x14ac:dyDescent="0.25">
      <c r="B19" s="20" t="s">
        <v>257</v>
      </c>
      <c r="C19" s="21">
        <f>C15-C18</f>
        <v>563371</v>
      </c>
      <c r="D19" s="25">
        <f>IFERROR(C19/$C$6,"")</f>
        <v>0.17389008185971341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.1" customHeight="1" x14ac:dyDescent="0.35">
      <c r="B2" s="14" t="s">
        <v>258</v>
      </c>
    </row>
    <row r="3" spans="2:4" ht="15.75" x14ac:dyDescent="0.3">
      <c r="B3" s="15" t="s">
        <v>241</v>
      </c>
    </row>
    <row r="5" spans="2:4" ht="16.5" customHeight="1" x14ac:dyDescent="0.25">
      <c r="B5" s="23" t="s">
        <v>242</v>
      </c>
      <c r="C5" s="23" t="s">
        <v>243</v>
      </c>
      <c r="D5" s="23" t="s">
        <v>259</v>
      </c>
    </row>
    <row r="6" spans="2:4" ht="15" customHeight="1" x14ac:dyDescent="0.25">
      <c r="B6" s="18" t="s">
        <v>260</v>
      </c>
      <c r="D6" s="15"/>
    </row>
    <row r="7" spans="2:4" ht="15" customHeight="1" x14ac:dyDescent="0.25">
      <c r="B7" s="12" t="s">
        <v>261</v>
      </c>
      <c r="C7" s="27">
        <f>INC_net</f>
        <v>563371</v>
      </c>
      <c r="D7" s="15" t="s">
        <v>262</v>
      </c>
    </row>
    <row r="8" spans="2:4" ht="15" customHeight="1" x14ac:dyDescent="0.25">
      <c r="B8" s="12" t="s">
        <v>263</v>
      </c>
      <c r="C8" s="27">
        <f>INC_depreciation</f>
        <v>111530</v>
      </c>
      <c r="D8" s="15" t="s">
        <v>262</v>
      </c>
    </row>
    <row r="9" spans="2:4" ht="15" customHeight="1" x14ac:dyDescent="0.25">
      <c r="B9" s="28" t="s">
        <v>264</v>
      </c>
      <c r="D9" s="15"/>
    </row>
    <row r="10" spans="2:4" ht="15" customHeight="1" x14ac:dyDescent="0.25">
      <c r="B10" s="12" t="s">
        <v>265</v>
      </c>
      <c r="C10" s="19"/>
      <c r="D10" s="15" t="s">
        <v>266</v>
      </c>
    </row>
    <row r="11" spans="2:4" ht="15" customHeight="1" x14ac:dyDescent="0.25">
      <c r="B11" s="12" t="s">
        <v>267</v>
      </c>
      <c r="C11" s="19"/>
      <c r="D11" s="15" t="s">
        <v>266</v>
      </c>
    </row>
    <row r="12" spans="2:4" ht="15" customHeight="1" x14ac:dyDescent="0.25">
      <c r="B12" s="12" t="s">
        <v>268</v>
      </c>
      <c r="C12" s="19"/>
      <c r="D12" s="15" t="s">
        <v>266</v>
      </c>
    </row>
    <row r="13" spans="2:4" ht="15" customHeight="1" x14ac:dyDescent="0.25">
      <c r="B13" s="12" t="s">
        <v>269</v>
      </c>
      <c r="C13" s="19"/>
      <c r="D13" s="15" t="s">
        <v>266</v>
      </c>
    </row>
    <row r="14" spans="2:4" ht="15" customHeight="1" x14ac:dyDescent="0.25">
      <c r="B14" s="12" t="s">
        <v>270</v>
      </c>
      <c r="C14" s="19"/>
      <c r="D14" s="15" t="s">
        <v>266</v>
      </c>
    </row>
    <row r="15" spans="2:4" ht="15" customHeight="1" x14ac:dyDescent="0.25">
      <c r="B15" s="20" t="s">
        <v>271</v>
      </c>
      <c r="C15" s="21">
        <f>SUM(C10:C14)</f>
        <v>0</v>
      </c>
      <c r="D15" s="15"/>
    </row>
    <row r="16" spans="2:4" ht="16.5" customHeight="1" x14ac:dyDescent="0.25">
      <c r="B16" s="5" t="s">
        <v>272</v>
      </c>
      <c r="C16" s="22">
        <f>C7+C8+C15</f>
        <v>674901</v>
      </c>
      <c r="D16" s="15"/>
    </row>
    <row r="17" spans="2:4" x14ac:dyDescent="0.25">
      <c r="D17" s="15"/>
    </row>
    <row r="18" spans="2:4" ht="15" customHeight="1" x14ac:dyDescent="0.25">
      <c r="B18" s="18" t="s">
        <v>273</v>
      </c>
      <c r="D18" s="15"/>
    </row>
    <row r="19" spans="2:4" ht="15" customHeight="1" x14ac:dyDescent="0.25">
      <c r="B19" s="12" t="s">
        <v>274</v>
      </c>
      <c r="C19" s="19"/>
      <c r="D19" s="15"/>
    </row>
    <row r="20" spans="2:4" ht="15" customHeight="1" x14ac:dyDescent="0.25">
      <c r="B20" s="12" t="s">
        <v>275</v>
      </c>
      <c r="C20" s="19"/>
      <c r="D20" s="15"/>
    </row>
    <row r="21" spans="2:4" ht="15" customHeight="1" x14ac:dyDescent="0.25">
      <c r="B21" s="12" t="s">
        <v>276</v>
      </c>
      <c r="C21" s="19"/>
      <c r="D21" s="15"/>
    </row>
    <row r="22" spans="2:4" ht="16.5" customHeight="1" x14ac:dyDescent="0.25">
      <c r="B22" s="5" t="s">
        <v>277</v>
      </c>
      <c r="C22" s="22">
        <f>SUM(C19:C21)</f>
        <v>0</v>
      </c>
      <c r="D22" s="15"/>
    </row>
    <row r="23" spans="2:4" x14ac:dyDescent="0.25">
      <c r="D23" s="15"/>
    </row>
    <row r="24" spans="2:4" ht="15" customHeight="1" x14ac:dyDescent="0.25">
      <c r="B24" s="18" t="s">
        <v>278</v>
      </c>
      <c r="D24" s="15"/>
    </row>
    <row r="25" spans="2:4" ht="15" customHeight="1" x14ac:dyDescent="0.25">
      <c r="B25" s="12" t="s">
        <v>279</v>
      </c>
      <c r="C25" s="19"/>
      <c r="D25" s="15"/>
    </row>
    <row r="26" spans="2:4" ht="15" customHeight="1" x14ac:dyDescent="0.25">
      <c r="B26" s="12" t="s">
        <v>280</v>
      </c>
      <c r="C26" s="19"/>
      <c r="D26" s="15"/>
    </row>
    <row r="27" spans="2:4" ht="15" customHeight="1" x14ac:dyDescent="0.25">
      <c r="B27" s="12" t="s">
        <v>281</v>
      </c>
      <c r="C27" s="19"/>
      <c r="D27" s="15"/>
    </row>
    <row r="28" spans="2:4" ht="15" customHeight="1" x14ac:dyDescent="0.25">
      <c r="B28" s="12" t="s">
        <v>282</v>
      </c>
      <c r="C28" s="19"/>
      <c r="D28" s="15"/>
    </row>
    <row r="29" spans="2:4" ht="15" customHeight="1" x14ac:dyDescent="0.25">
      <c r="B29" s="12" t="s">
        <v>283</v>
      </c>
      <c r="C29" s="19"/>
      <c r="D29" s="15"/>
    </row>
    <row r="30" spans="2:4" ht="16.5" customHeight="1" x14ac:dyDescent="0.25">
      <c r="B30" s="5" t="s">
        <v>284</v>
      </c>
      <c r="C30" s="22">
        <f>SUM(C25:C29)</f>
        <v>0</v>
      </c>
      <c r="D30" s="15"/>
    </row>
    <row r="31" spans="2:4" x14ac:dyDescent="0.25">
      <c r="D31" s="15"/>
    </row>
    <row r="32" spans="2:4" ht="16.5" customHeight="1" x14ac:dyDescent="0.25">
      <c r="B32" s="5" t="s">
        <v>285</v>
      </c>
      <c r="C32" s="22">
        <f>C16+C22+C30</f>
        <v>674901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5" x14ac:dyDescent="0.2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.1" customHeight="1" x14ac:dyDescent="0.35">
      <c r="B2" s="14" t="s">
        <v>0</v>
      </c>
    </row>
    <row r="3" spans="2:5" x14ac:dyDescent="0.25">
      <c r="B3" s="15" t="s">
        <v>1</v>
      </c>
    </row>
    <row r="5" spans="2:5" ht="16.5" customHeight="1" x14ac:dyDescent="0.2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25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25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25">
      <c r="B8" s="12" t="s">
        <v>11</v>
      </c>
      <c r="C8" s="32"/>
      <c r="D8" s="30"/>
      <c r="E8" s="30" t="s">
        <v>12</v>
      </c>
    </row>
    <row r="9" spans="2:5" ht="15" customHeight="1" x14ac:dyDescent="0.25">
      <c r="B9" s="12" t="s">
        <v>13</v>
      </c>
      <c r="C9" s="33"/>
      <c r="D9" s="30"/>
      <c r="E9" s="30" t="s">
        <v>14</v>
      </c>
    </row>
    <row r="10" spans="2:5" ht="15" customHeight="1" x14ac:dyDescent="0.25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25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3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3">
      <c r="B14" s="54" t="s">
        <v>22</v>
      </c>
      <c r="C14" s="49"/>
      <c r="D14" s="49"/>
      <c r="E14" s="49"/>
    </row>
    <row r="15" spans="2:5" ht="15" customHeight="1" x14ac:dyDescent="0.25">
      <c r="B15" s="12" t="s">
        <v>23</v>
      </c>
      <c r="C15" s="36">
        <f>BAL_equity_shareholders_prior</f>
        <v>1569591</v>
      </c>
      <c r="D15" s="30" t="s">
        <v>24</v>
      </c>
      <c r="E15" s="30" t="s">
        <v>25</v>
      </c>
    </row>
    <row r="16" spans="2:5" ht="15" customHeight="1" x14ac:dyDescent="0.25">
      <c r="B16" s="12" t="s">
        <v>26</v>
      </c>
      <c r="C16" s="36">
        <f>BAL_inventories_prior</f>
        <v>36590</v>
      </c>
      <c r="D16" s="30" t="s">
        <v>27</v>
      </c>
      <c r="E16" s="30" t="s">
        <v>28</v>
      </c>
    </row>
    <row r="17" spans="2:5" ht="15" customHeight="1" x14ac:dyDescent="0.25">
      <c r="B17" s="12" t="s">
        <v>29</v>
      </c>
      <c r="C17" s="36">
        <f>BAL_receivables_prior</f>
        <v>571661</v>
      </c>
      <c r="D17" s="30" t="s">
        <v>30</v>
      </c>
      <c r="E17" s="30" t="s">
        <v>31</v>
      </c>
    </row>
    <row r="18" spans="2:5" ht="15" customHeight="1" x14ac:dyDescent="0.25">
      <c r="B18" s="12" t="s">
        <v>32</v>
      </c>
      <c r="C18" s="36">
        <f>BAL_assets_total_prior</f>
        <v>3210938</v>
      </c>
      <c r="D18" s="30" t="s">
        <v>33</v>
      </c>
      <c r="E18" s="30" t="s">
        <v>34</v>
      </c>
    </row>
    <row r="19" spans="2:5" ht="15" customHeight="1" x14ac:dyDescent="0.25">
      <c r="B19" s="12" t="s">
        <v>35</v>
      </c>
      <c r="C19" s="36">
        <f>BAL_debt_long_term_prior+BAL_equity_shareholders_prior</f>
        <v>1588795</v>
      </c>
      <c r="D19" s="30" t="s">
        <v>36</v>
      </c>
      <c r="E19" s="30" t="s">
        <v>37</v>
      </c>
    </row>
    <row r="21" spans="2:5" ht="16.5" customHeight="1" x14ac:dyDescent="0.3">
      <c r="B21" s="54" t="s">
        <v>38</v>
      </c>
      <c r="C21" s="49"/>
      <c r="D21" s="49"/>
      <c r="E21" s="49"/>
    </row>
    <row r="22" spans="2:5" ht="15" customHeight="1" x14ac:dyDescent="0.3">
      <c r="B22" s="12" t="s">
        <v>39</v>
      </c>
      <c r="C22" s="36">
        <f>INC_net+(1-tax_rate)*INC_interest_expense</f>
        <v>585585.80000000005</v>
      </c>
      <c r="D22" s="30" t="s">
        <v>40</v>
      </c>
      <c r="E22" s="30" t="s">
        <v>41</v>
      </c>
    </row>
    <row r="23" spans="2:5" ht="15" customHeight="1" x14ac:dyDescent="0.25">
      <c r="B23" s="12" t="s">
        <v>42</v>
      </c>
      <c r="C23" s="37">
        <f>IFERROR(INC_sales/365,"")</f>
        <v>8876.194520547946</v>
      </c>
      <c r="D23" s="30" t="s">
        <v>43</v>
      </c>
      <c r="E23" s="30" t="s">
        <v>44</v>
      </c>
    </row>
    <row r="24" spans="2:5" ht="15" customHeight="1" x14ac:dyDescent="0.25">
      <c r="B24" s="12" t="s">
        <v>45</v>
      </c>
      <c r="C24" s="36">
        <f>BAL_equity_shareholders_curr</f>
        <v>1916825</v>
      </c>
      <c r="D24" s="30" t="s">
        <v>46</v>
      </c>
      <c r="E24" s="30" t="s">
        <v>47</v>
      </c>
    </row>
    <row r="25" spans="2:5" ht="15" customHeight="1" x14ac:dyDescent="0.25">
      <c r="B25" s="12" t="s">
        <v>48</v>
      </c>
      <c r="C25" s="36">
        <f>BAL_cash_marketable_securities_curr</f>
        <v>1341871</v>
      </c>
      <c r="D25" s="30" t="s">
        <v>49</v>
      </c>
      <c r="E25" s="30" t="s">
        <v>50</v>
      </c>
    </row>
    <row r="26" spans="2:5" ht="15" customHeight="1" x14ac:dyDescent="0.25">
      <c r="B26" s="12" t="s">
        <v>51</v>
      </c>
      <c r="C26" s="36">
        <f>BAL_assets_current_curr</f>
        <v>2959131</v>
      </c>
      <c r="D26" s="30" t="s">
        <v>52</v>
      </c>
      <c r="E26" s="30" t="s">
        <v>53</v>
      </c>
    </row>
    <row r="27" spans="2:5" ht="15" customHeight="1" x14ac:dyDescent="0.25">
      <c r="B27" s="12" t="s">
        <v>54</v>
      </c>
      <c r="C27" s="36">
        <f>BAL_liabilities_current_curr</f>
        <v>1701450</v>
      </c>
      <c r="D27" s="30" t="s">
        <v>55</v>
      </c>
      <c r="E27" s="30" t="s">
        <v>56</v>
      </c>
    </row>
    <row r="28" spans="2:5" ht="15" customHeight="1" x14ac:dyDescent="0.25">
      <c r="B28" s="12" t="s">
        <v>57</v>
      </c>
      <c r="C28" s="37">
        <f>IFERROR(INC_cost_goods_sold/365,"")</f>
        <v>1210.1698630136987</v>
      </c>
      <c r="D28" s="30" t="s">
        <v>58</v>
      </c>
      <c r="E28" s="30" t="s">
        <v>59</v>
      </c>
    </row>
    <row r="29" spans="2:5" ht="15" customHeight="1" x14ac:dyDescent="0.25">
      <c r="B29" s="12" t="s">
        <v>60</v>
      </c>
      <c r="C29" s="36">
        <f>BAL_debt_long_term_curr</f>
        <v>63840</v>
      </c>
      <c r="D29" s="30" t="s">
        <v>61</v>
      </c>
      <c r="E29" s="30" t="s">
        <v>62</v>
      </c>
    </row>
    <row r="30" spans="2:5" ht="15" customHeight="1" x14ac:dyDescent="0.3">
      <c r="B30" s="12" t="s">
        <v>63</v>
      </c>
      <c r="C30" s="36">
        <f>BAL_assets_current_curr-BAL_liabilities_current_curr</f>
        <v>1257681</v>
      </c>
      <c r="D30" s="30" t="s">
        <v>64</v>
      </c>
      <c r="E30" s="30" t="s">
        <v>65</v>
      </c>
    </row>
    <row r="31" spans="2:5" ht="15" customHeight="1" x14ac:dyDescent="0.25">
      <c r="B31" s="12" t="s">
        <v>66</v>
      </c>
      <c r="C31" s="36">
        <f>BAL_assets_total_curr</f>
        <v>3756229</v>
      </c>
      <c r="D31" s="30" t="s">
        <v>67</v>
      </c>
      <c r="E31" s="30" t="s">
        <v>68</v>
      </c>
    </row>
    <row r="32" spans="2:5" ht="15" customHeight="1" x14ac:dyDescent="0.25">
      <c r="B32" s="12" t="s">
        <v>69</v>
      </c>
      <c r="C32" s="36">
        <f>BAL_debt_long_term_curr+BAL_equity_shareholders_curr</f>
        <v>1980665</v>
      </c>
      <c r="D32" s="30" t="s">
        <v>70</v>
      </c>
      <c r="E32" s="30" t="s">
        <v>71</v>
      </c>
    </row>
    <row r="33" spans="2:6" ht="15" customHeight="1" x14ac:dyDescent="0.25">
      <c r="B33" s="12" t="s">
        <v>72</v>
      </c>
      <c r="C33" s="36">
        <f>BAL_liabilities_total_curr</f>
        <v>1839404</v>
      </c>
      <c r="D33" s="30" t="s">
        <v>73</v>
      </c>
      <c r="E33" s="30" t="s">
        <v>74</v>
      </c>
    </row>
    <row r="35" spans="2:6" ht="16.5" customHeight="1" x14ac:dyDescent="0.3">
      <c r="B35" s="54" t="s">
        <v>75</v>
      </c>
      <c r="C35" s="49"/>
      <c r="D35" s="49"/>
      <c r="E35" s="49"/>
    </row>
    <row r="36" spans="2:6" ht="15" customHeight="1" x14ac:dyDescent="0.25">
      <c r="B36" s="12" t="s">
        <v>76</v>
      </c>
      <c r="C36" s="37">
        <f>AVERAGE(startYear_equity,currentYear_equity)</f>
        <v>1743208</v>
      </c>
      <c r="D36" s="30" t="s">
        <v>77</v>
      </c>
      <c r="E36" s="30" t="s">
        <v>78</v>
      </c>
    </row>
    <row r="37" spans="2:6" ht="15" customHeight="1" x14ac:dyDescent="0.25">
      <c r="B37" s="12" t="s">
        <v>79</v>
      </c>
      <c r="C37" s="37">
        <f>AVERAGE(startYear_total_assets,currentYear_assets_total)</f>
        <v>3483583.5</v>
      </c>
      <c r="D37" s="30" t="s">
        <v>80</v>
      </c>
      <c r="E37" s="30" t="s">
        <v>81</v>
      </c>
    </row>
    <row r="38" spans="2:6" ht="15" customHeight="1" x14ac:dyDescent="0.25">
      <c r="B38" s="12" t="s">
        <v>82</v>
      </c>
      <c r="C38" s="37">
        <f>AVERAGE(startYear_total_capitalization,currentYear_total_capitalization)</f>
        <v>1784730</v>
      </c>
      <c r="D38" s="30" t="s">
        <v>83</v>
      </c>
      <c r="E38" s="30" t="s">
        <v>84</v>
      </c>
    </row>
    <row r="41" spans="2:6" ht="16.5" customHeight="1" x14ac:dyDescent="0.2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25">
      <c r="B42" s="5" t="s">
        <v>89</v>
      </c>
      <c r="C42" s="1"/>
      <c r="D42" s="1"/>
      <c r="E42" s="1"/>
    </row>
    <row r="43" spans="2:6" ht="15" customHeight="1" x14ac:dyDescent="0.3">
      <c r="B43" s="12" t="s">
        <v>90</v>
      </c>
      <c r="C43" s="38"/>
      <c r="D43" s="30" t="s">
        <v>91</v>
      </c>
      <c r="E43" s="30"/>
    </row>
    <row r="44" spans="2:6" ht="15" customHeight="1" x14ac:dyDescent="0.25">
      <c r="B44" s="12" t="s">
        <v>92</v>
      </c>
      <c r="C44" s="39"/>
      <c r="D44" s="30" t="s">
        <v>93</v>
      </c>
      <c r="E44" s="30"/>
    </row>
    <row r="45" spans="2:6" ht="15" customHeight="1" x14ac:dyDescent="0.3">
      <c r="B45" s="12" t="s">
        <v>94</v>
      </c>
      <c r="C45" s="38"/>
      <c r="D45" s="30" t="s">
        <v>95</v>
      </c>
      <c r="E45" s="30"/>
    </row>
    <row r="46" spans="2:6" ht="16.5" customHeight="1" x14ac:dyDescent="0.25">
      <c r="B46" s="5" t="s">
        <v>96</v>
      </c>
      <c r="C46" s="1"/>
      <c r="D46" s="1"/>
      <c r="E46" s="1"/>
    </row>
    <row r="47" spans="2:6" ht="15" customHeight="1" x14ac:dyDescent="0.25">
      <c r="B47" s="12" t="s">
        <v>97</v>
      </c>
      <c r="C47" s="40"/>
      <c r="D47" s="30" t="s">
        <v>98</v>
      </c>
      <c r="E47" s="30"/>
    </row>
    <row r="48" spans="2:6" ht="15" customHeight="1" x14ac:dyDescent="0.25">
      <c r="B48" s="12" t="s">
        <v>99</v>
      </c>
      <c r="C48" s="40"/>
      <c r="D48" s="30" t="s">
        <v>100</v>
      </c>
      <c r="E48" s="30"/>
    </row>
    <row r="49" spans="2:5" ht="15" customHeight="1" x14ac:dyDescent="0.25">
      <c r="B49" s="12" t="s">
        <v>101</v>
      </c>
      <c r="C49" s="40"/>
      <c r="D49" s="30" t="s">
        <v>102</v>
      </c>
      <c r="E49" s="30"/>
    </row>
    <row r="50" spans="2:5" ht="15" customHeight="1" x14ac:dyDescent="0.25">
      <c r="B50" s="12" t="s">
        <v>103</v>
      </c>
      <c r="C50" s="40"/>
      <c r="D50" s="30" t="s">
        <v>104</v>
      </c>
      <c r="E50" s="30"/>
    </row>
    <row r="51" spans="2:5" ht="15" customHeight="1" x14ac:dyDescent="0.25">
      <c r="B51" s="12" t="s">
        <v>105</v>
      </c>
      <c r="C51" s="40"/>
      <c r="D51" s="30" t="s">
        <v>106</v>
      </c>
      <c r="E51" s="30"/>
    </row>
    <row r="52" spans="2:5" ht="15" customHeight="1" x14ac:dyDescent="0.25">
      <c r="B52" s="12" t="s">
        <v>107</v>
      </c>
      <c r="C52" s="40"/>
      <c r="D52" s="30" t="s">
        <v>108</v>
      </c>
      <c r="E52" s="30"/>
    </row>
    <row r="53" spans="2:5" ht="16.5" customHeight="1" x14ac:dyDescent="0.25">
      <c r="B53" s="5" t="s">
        <v>109</v>
      </c>
      <c r="C53" s="1"/>
      <c r="D53" s="1"/>
      <c r="E53" s="1"/>
    </row>
    <row r="54" spans="2:5" ht="15" customHeight="1" x14ac:dyDescent="0.25">
      <c r="B54" s="12" t="s">
        <v>110</v>
      </c>
      <c r="C54" s="39"/>
      <c r="D54" s="30" t="s">
        <v>111</v>
      </c>
      <c r="E54" s="30" t="s">
        <v>112</v>
      </c>
    </row>
    <row r="55" spans="2:5" ht="15" customHeight="1" x14ac:dyDescent="0.25">
      <c r="B55" s="12" t="s">
        <v>113</v>
      </c>
      <c r="C55" s="39"/>
      <c r="D55" s="30" t="s">
        <v>114</v>
      </c>
      <c r="E55" s="30"/>
    </row>
    <row r="56" spans="2:5" ht="15" customHeight="1" x14ac:dyDescent="0.25">
      <c r="B56" s="12" t="s">
        <v>115</v>
      </c>
      <c r="C56" s="41"/>
      <c r="D56" s="30" t="s">
        <v>116</v>
      </c>
      <c r="E56" s="30"/>
    </row>
    <row r="57" spans="2:5" ht="15" customHeight="1" x14ac:dyDescent="0.25">
      <c r="B57" s="12" t="s">
        <v>117</v>
      </c>
      <c r="C57" s="39"/>
      <c r="D57" s="30" t="s">
        <v>118</v>
      </c>
      <c r="E57" s="30"/>
    </row>
    <row r="58" spans="2:5" ht="15" customHeight="1" x14ac:dyDescent="0.25">
      <c r="B58" s="12" t="s">
        <v>119</v>
      </c>
      <c r="C58" s="41"/>
      <c r="D58" s="30" t="s">
        <v>120</v>
      </c>
      <c r="E58" s="30"/>
    </row>
    <row r="59" spans="2:5" ht="15" customHeight="1" x14ac:dyDescent="0.25">
      <c r="B59" s="12" t="s">
        <v>121</v>
      </c>
      <c r="C59" s="40"/>
      <c r="D59" s="30" t="s">
        <v>122</v>
      </c>
      <c r="E59" s="30"/>
    </row>
    <row r="60" spans="2:5" ht="15" customHeight="1" x14ac:dyDescent="0.25">
      <c r="B60" s="12" t="s">
        <v>123</v>
      </c>
      <c r="C60" s="40"/>
      <c r="D60" s="30" t="s">
        <v>124</v>
      </c>
      <c r="E60" s="30" t="s">
        <v>125</v>
      </c>
    </row>
    <row r="61" spans="2:5" ht="16.5" customHeight="1" x14ac:dyDescent="0.25">
      <c r="B61" s="5" t="s">
        <v>126</v>
      </c>
      <c r="C61" s="1"/>
      <c r="D61" s="1"/>
      <c r="E61" s="1"/>
    </row>
    <row r="62" spans="2:5" ht="15" customHeight="1" x14ac:dyDescent="0.25">
      <c r="B62" s="12" t="s">
        <v>127</v>
      </c>
      <c r="C62" s="40"/>
      <c r="D62" s="30" t="s">
        <v>128</v>
      </c>
      <c r="E62" s="30"/>
    </row>
    <row r="63" spans="2:5" ht="15" customHeight="1" x14ac:dyDescent="0.25">
      <c r="B63" s="12" t="s">
        <v>129</v>
      </c>
      <c r="C63" s="39"/>
      <c r="D63" s="30" t="s">
        <v>130</v>
      </c>
      <c r="E63" s="30"/>
    </row>
    <row r="64" spans="2:5" ht="15" customHeight="1" x14ac:dyDescent="0.25">
      <c r="B64" s="12" t="s">
        <v>131</v>
      </c>
      <c r="C64" s="40"/>
      <c r="D64" s="30" t="s">
        <v>132</v>
      </c>
      <c r="E64" s="30"/>
    </row>
    <row r="65" spans="2:6" ht="15" customHeight="1" x14ac:dyDescent="0.25">
      <c r="B65" s="12" t="s">
        <v>133</v>
      </c>
      <c r="C65" s="39"/>
      <c r="D65" s="30" t="s">
        <v>134</v>
      </c>
      <c r="E65" s="30"/>
    </row>
    <row r="66" spans="2:6" ht="15" customHeight="1" x14ac:dyDescent="0.25">
      <c r="B66" s="12" t="s">
        <v>135</v>
      </c>
      <c r="C66" s="39"/>
      <c r="D66" s="30" t="s">
        <v>136</v>
      </c>
      <c r="E66" s="30"/>
    </row>
    <row r="67" spans="2:6" ht="15" customHeight="1" x14ac:dyDescent="0.25">
      <c r="B67" s="12" t="s">
        <v>137</v>
      </c>
      <c r="C67" s="42"/>
      <c r="D67" s="30" t="s">
        <v>138</v>
      </c>
      <c r="E67" s="30" t="s">
        <v>139</v>
      </c>
    </row>
    <row r="68" spans="2:6" ht="15" customHeight="1" x14ac:dyDescent="0.25">
      <c r="B68" s="12" t="s">
        <v>140</v>
      </c>
      <c r="C68" s="39"/>
      <c r="D68" s="30" t="s">
        <v>141</v>
      </c>
      <c r="E68" s="30" t="s">
        <v>142</v>
      </c>
    </row>
    <row r="69" spans="2:6" ht="16.5" customHeight="1" x14ac:dyDescent="0.25">
      <c r="B69" s="5" t="s">
        <v>143</v>
      </c>
      <c r="C69" s="1"/>
      <c r="D69" s="1"/>
      <c r="E69" s="1"/>
    </row>
    <row r="70" spans="2:6" ht="15" customHeight="1" x14ac:dyDescent="0.25">
      <c r="B70" s="12" t="s">
        <v>144</v>
      </c>
      <c r="C70" s="40"/>
      <c r="D70" s="30" t="s">
        <v>145</v>
      </c>
      <c r="E70" s="30"/>
    </row>
    <row r="71" spans="2:6" ht="15" customHeight="1" x14ac:dyDescent="0.25">
      <c r="B71" s="12" t="s">
        <v>146</v>
      </c>
      <c r="C71" s="39"/>
      <c r="D71" s="30" t="s">
        <v>147</v>
      </c>
      <c r="E71" s="30"/>
    </row>
    <row r="72" spans="2:6" ht="15" customHeight="1" x14ac:dyDescent="0.3">
      <c r="B72" s="12" t="s">
        <v>148</v>
      </c>
      <c r="C72" s="39"/>
      <c r="D72" s="30" t="s">
        <v>149</v>
      </c>
      <c r="E72" s="30"/>
    </row>
    <row r="73" spans="2:6" ht="15" customHeight="1" x14ac:dyDescent="0.3">
      <c r="B73" s="12" t="s">
        <v>150</v>
      </c>
      <c r="C73" s="39"/>
      <c r="D73" s="30" t="s">
        <v>151</v>
      </c>
      <c r="E73" s="30"/>
    </row>
    <row r="74" spans="2:6" ht="16.5" customHeight="1" x14ac:dyDescent="0.3">
      <c r="B74" s="5" t="s">
        <v>152</v>
      </c>
      <c r="C74" s="1"/>
      <c r="D74" s="1"/>
      <c r="E74" s="1"/>
    </row>
    <row r="75" spans="2:6" ht="15" customHeight="1" x14ac:dyDescent="0.3">
      <c r="B75" s="12" t="s">
        <v>153</v>
      </c>
      <c r="C75" s="40"/>
      <c r="D75" s="30" t="s">
        <v>154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3">
      <c r="B76" s="12" t="s">
        <v>155</v>
      </c>
      <c r="C76" s="40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68"/>
  <sheetViews>
    <sheetView showGridLines="0" topLeftCell="A37" workbookViewId="0">
      <selection activeCell="C48" sqref="C48"/>
    </sheetView>
  </sheetViews>
  <sheetFormatPr defaultRowHeight="15" x14ac:dyDescent="0.25"/>
  <cols>
    <col min="1" max="1" width="3.85546875" customWidth="1"/>
    <col min="2" max="2" width="28" customWidth="1"/>
    <col min="3" max="3" width="70" customWidth="1"/>
  </cols>
  <sheetData>
    <row r="2" spans="2:3" ht="23.1" customHeight="1" x14ac:dyDescent="0.35">
      <c r="B2" s="14" t="s">
        <v>286</v>
      </c>
    </row>
    <row r="4" spans="2:3" x14ac:dyDescent="0.25">
      <c r="B4" s="43" t="s">
        <v>287</v>
      </c>
      <c r="C4" s="4" t="s">
        <v>313</v>
      </c>
    </row>
    <row r="5" spans="2:3" x14ac:dyDescent="0.25">
      <c r="B5" s="43" t="s">
        <v>288</v>
      </c>
      <c r="C5" s="4" t="s">
        <v>314</v>
      </c>
    </row>
    <row r="6" spans="2:3" x14ac:dyDescent="0.25">
      <c r="B6" s="43" t="s">
        <v>289</v>
      </c>
      <c r="C6" s="4" t="s">
        <v>315</v>
      </c>
    </row>
    <row r="7" spans="2:3" x14ac:dyDescent="0.25">
      <c r="B7" s="43" t="s">
        <v>290</v>
      </c>
      <c r="C7" t="s">
        <v>316</v>
      </c>
    </row>
    <row r="8" spans="2:3" x14ac:dyDescent="0.25">
      <c r="B8" s="43" t="s">
        <v>291</v>
      </c>
      <c r="C8" t="s">
        <v>317</v>
      </c>
    </row>
    <row r="9" spans="2:3" x14ac:dyDescent="0.25">
      <c r="B9" s="43" t="s">
        <v>292</v>
      </c>
      <c r="C9" s="4" t="s">
        <v>318</v>
      </c>
    </row>
    <row r="10" spans="2:3" x14ac:dyDescent="0.25">
      <c r="B10" s="43" t="s">
        <v>293</v>
      </c>
      <c r="C10" s="4" t="s">
        <v>319</v>
      </c>
    </row>
    <row r="11" spans="2:3" ht="30" x14ac:dyDescent="0.25">
      <c r="B11" s="43" t="s">
        <v>294</v>
      </c>
      <c r="C11" s="45" t="s">
        <v>320</v>
      </c>
    </row>
    <row r="12" spans="2:3" x14ac:dyDescent="0.25">
      <c r="B12" s="43" t="s">
        <v>295</v>
      </c>
      <c r="C12" s="45" t="s">
        <v>321</v>
      </c>
    </row>
    <row r="13" spans="2:3" x14ac:dyDescent="0.25">
      <c r="B13" s="43" t="s">
        <v>296</v>
      </c>
      <c r="C13" s="46" t="s">
        <v>322</v>
      </c>
    </row>
    <row r="14" spans="2:3" x14ac:dyDescent="0.25">
      <c r="B14" s="43" t="s">
        <v>297</v>
      </c>
      <c r="C14" s="46" t="s">
        <v>323</v>
      </c>
    </row>
    <row r="16" spans="2:3" x14ac:dyDescent="0.25">
      <c r="B16" s="43" t="s">
        <v>298</v>
      </c>
      <c r="C16" s="4" t="s">
        <v>299</v>
      </c>
    </row>
    <row r="17" spans="2:3" ht="29.1" customHeight="1" x14ac:dyDescent="0.25">
      <c r="B17" s="43" t="s">
        <v>300</v>
      </c>
      <c r="C17" s="4" t="s">
        <v>301</v>
      </c>
    </row>
    <row r="18" spans="2:3" ht="29.1" customHeight="1" x14ac:dyDescent="0.25">
      <c r="B18" s="43" t="s">
        <v>302</v>
      </c>
      <c r="C18" s="4" t="s">
        <v>303</v>
      </c>
    </row>
    <row r="19" spans="2:3" ht="29.1" customHeight="1" x14ac:dyDescent="0.25">
      <c r="B19" s="43" t="s">
        <v>304</v>
      </c>
      <c r="C19" s="4" t="s">
        <v>305</v>
      </c>
    </row>
    <row r="20" spans="2:3" ht="29.1" customHeight="1" x14ac:dyDescent="0.25">
      <c r="B20" s="43" t="s">
        <v>306</v>
      </c>
      <c r="C20" s="4" t="s">
        <v>307</v>
      </c>
    </row>
    <row r="22" spans="2:3" x14ac:dyDescent="0.25">
      <c r="B22" s="43" t="s">
        <v>308</v>
      </c>
    </row>
    <row r="23" spans="2:3" ht="32.1" customHeight="1" x14ac:dyDescent="0.25">
      <c r="B23" s="43" t="s">
        <v>309</v>
      </c>
      <c r="C23" s="4" t="s">
        <v>310</v>
      </c>
    </row>
    <row r="24" spans="2:3" ht="45" customHeight="1" x14ac:dyDescent="0.25">
      <c r="B24" s="43" t="s">
        <v>311</v>
      </c>
      <c r="C24" s="4" t="s">
        <v>312</v>
      </c>
    </row>
    <row r="26" spans="2:3" x14ac:dyDescent="0.25">
      <c r="B26" s="47" t="s">
        <v>324</v>
      </c>
    </row>
    <row r="28" spans="2:3" x14ac:dyDescent="0.25">
      <c r="B28" t="s">
        <v>325</v>
      </c>
    </row>
    <row r="30" spans="2:3" x14ac:dyDescent="0.25">
      <c r="B30" t="s">
        <v>326</v>
      </c>
    </row>
    <row r="32" spans="2:3" x14ac:dyDescent="0.25">
      <c r="B32" t="s">
        <v>327</v>
      </c>
    </row>
    <row r="34" spans="2:2" x14ac:dyDescent="0.25">
      <c r="B34" t="s">
        <v>328</v>
      </c>
    </row>
    <row r="36" spans="2:2" x14ac:dyDescent="0.25">
      <c r="B36" t="s">
        <v>329</v>
      </c>
    </row>
    <row r="38" spans="2:2" x14ac:dyDescent="0.25">
      <c r="B38" t="s">
        <v>330</v>
      </c>
    </row>
    <row r="40" spans="2:2" x14ac:dyDescent="0.25">
      <c r="B40" t="s">
        <v>331</v>
      </c>
    </row>
    <row r="42" spans="2:2" x14ac:dyDescent="0.25">
      <c r="B42" t="s">
        <v>332</v>
      </c>
    </row>
    <row r="43" spans="2:2" x14ac:dyDescent="0.25">
      <c r="B43" t="s">
        <v>333</v>
      </c>
    </row>
    <row r="44" spans="2:2" x14ac:dyDescent="0.25">
      <c r="B44" t="s">
        <v>334</v>
      </c>
    </row>
    <row r="45" spans="2:2" x14ac:dyDescent="0.25">
      <c r="B45" t="s">
        <v>335</v>
      </c>
    </row>
    <row r="46" spans="2:2" x14ac:dyDescent="0.25">
      <c r="B46" t="s">
        <v>336</v>
      </c>
    </row>
    <row r="48" spans="2:2" x14ac:dyDescent="0.25">
      <c r="B48" s="47" t="s">
        <v>337</v>
      </c>
    </row>
    <row r="50" spans="2:2" x14ac:dyDescent="0.25">
      <c r="B50" t="s">
        <v>338</v>
      </c>
    </row>
    <row r="51" spans="2:2" x14ac:dyDescent="0.25">
      <c r="B51" t="s">
        <v>339</v>
      </c>
    </row>
    <row r="53" spans="2:2" x14ac:dyDescent="0.25">
      <c r="B53" t="s">
        <v>340</v>
      </c>
    </row>
    <row r="54" spans="2:2" x14ac:dyDescent="0.25">
      <c r="B54" t="s">
        <v>341</v>
      </c>
    </row>
    <row r="55" spans="2:2" x14ac:dyDescent="0.25">
      <c r="B55" t="s">
        <v>342</v>
      </c>
    </row>
    <row r="56" spans="2:2" x14ac:dyDescent="0.25">
      <c r="B56" t="s">
        <v>343</v>
      </c>
    </row>
    <row r="57" spans="2:2" x14ac:dyDescent="0.25">
      <c r="B57" t="s">
        <v>344</v>
      </c>
    </row>
    <row r="58" spans="2:2" x14ac:dyDescent="0.25">
      <c r="B58" t="s">
        <v>345</v>
      </c>
    </row>
    <row r="59" spans="2:2" x14ac:dyDescent="0.25">
      <c r="B59" t="s">
        <v>346</v>
      </c>
    </row>
    <row r="60" spans="2:2" x14ac:dyDescent="0.25">
      <c r="B60" t="s">
        <v>347</v>
      </c>
    </row>
    <row r="61" spans="2:2" x14ac:dyDescent="0.25">
      <c r="B61" t="s">
        <v>348</v>
      </c>
    </row>
    <row r="63" spans="2:2" x14ac:dyDescent="0.25">
      <c r="B63" t="s">
        <v>349</v>
      </c>
    </row>
    <row r="64" spans="2:2" x14ac:dyDescent="0.25">
      <c r="B64" t="s">
        <v>350</v>
      </c>
    </row>
    <row r="65" spans="2:2" x14ac:dyDescent="0.25">
      <c r="B65" t="s">
        <v>351</v>
      </c>
    </row>
    <row r="66" spans="2:2" x14ac:dyDescent="0.25">
      <c r="B66" t="s">
        <v>352</v>
      </c>
    </row>
    <row r="67" spans="2:2" x14ac:dyDescent="0.25">
      <c r="B67" t="s">
        <v>353</v>
      </c>
    </row>
    <row r="68" spans="2:2" x14ac:dyDescent="0.25">
      <c r="B68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LE, Nam Hung (Henry)</cp:lastModifiedBy>
  <dcterms:created xsi:type="dcterms:W3CDTF">2026-04-24T19:43:19Z</dcterms:created>
  <dcterms:modified xsi:type="dcterms:W3CDTF">2026-05-20T16:27:12Z</dcterms:modified>
</cp:coreProperties>
</file>